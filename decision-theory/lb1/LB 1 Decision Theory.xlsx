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home\university-4\decision-theory\lb1\"/>
    </mc:Choice>
  </mc:AlternateContent>
  <xr:revisionPtr revIDLastSave="0" documentId="13_ncr:1_{A6D095FF-E4A0-4025-B8F8-E923B6BCC8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csv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2" i="1" l="1"/>
  <c r="P23" i="1"/>
  <c r="C30" i="1"/>
  <c r="P22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C24" i="1"/>
  <c r="C25" i="1"/>
  <c r="C26" i="1"/>
  <c r="C27" i="1"/>
  <c r="C28" i="1"/>
  <c r="C29" i="1"/>
  <c r="C31" i="1"/>
  <c r="C32" i="1"/>
  <c r="C33" i="1"/>
  <c r="C34" i="1"/>
  <c r="C35" i="1"/>
  <c r="C36" i="1"/>
  <c r="C37" i="1"/>
  <c r="C23" i="1"/>
</calcChain>
</file>

<file path=xl/sharedStrings.xml><?xml version="1.0" encoding="utf-8"?>
<sst xmlns="http://schemas.openxmlformats.org/spreadsheetml/2006/main" count="38" uniqueCount="12">
  <si>
    <t>№</t>
  </si>
  <si>
    <t>тр-ра</t>
  </si>
  <si>
    <r>
      <t>U</t>
    </r>
    <r>
      <rPr>
        <sz val="5"/>
        <color theme="1"/>
        <rFont val="Times New Roman"/>
        <family val="1"/>
      </rPr>
      <t>ш</t>
    </r>
  </si>
  <si>
    <r>
      <t>α*10</t>
    </r>
    <r>
      <rPr>
        <sz val="5"/>
        <color theme="1"/>
        <rFont val="Times New Roman"/>
        <family val="1"/>
      </rPr>
      <t>3</t>
    </r>
  </si>
  <si>
    <t>Варіант:</t>
  </si>
  <si>
    <t>Uш. Кл</t>
  </si>
  <si>
    <t>α*10^3г</t>
  </si>
  <si>
    <r>
      <t>U</t>
    </r>
    <r>
      <rPr>
        <b/>
        <sz val="5"/>
        <color theme="1"/>
        <rFont val="Times New Roman"/>
        <family val="1"/>
      </rPr>
      <t>ш</t>
    </r>
  </si>
  <si>
    <r>
      <t>α*10</t>
    </r>
    <r>
      <rPr>
        <b/>
        <sz val="5"/>
        <color theme="1"/>
        <rFont val="Times New Roman"/>
        <family val="1"/>
      </rPr>
      <t>3</t>
    </r>
  </si>
  <si>
    <t>a</t>
  </si>
  <si>
    <t>U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</si>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</sst>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5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0"/>
      <name val="Calibri"/>
      <family val="2"/>
      <scheme val="minor"/>
    </font>
    <font>
      <b/>
      <sz val="8"/>
      <color theme="1"/>
      <name val="Times New Roman"/>
      <family val="1"/>
    </font>
    <font>
      <b/>
      <sz val="5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double">
        <color rgb="FF000000"/>
      </right>
      <top style="medium">
        <color rgb="FF000000"/>
      </top>
      <bottom/>
      <diagonal/>
    </border>
    <border>
      <left style="medium">
        <color rgb="FF000000"/>
      </left>
      <right style="double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4" fillId="0" borderId="0" xfId="0" applyFont="1"/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 indent="1"/>
    </xf>
    <xf numFmtId="0" fontId="5" fillId="0" borderId="14" xfId="0" applyFont="1" applyBorder="1" applyAlignment="1">
      <alignment horizontal="left" vertical="center" wrapText="1" indent="1"/>
    </xf>
    <xf numFmtId="0" fontId="5" fillId="0" borderId="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FF8989"/>
        </patternFill>
      </fill>
    </dxf>
    <dxf>
      <font>
        <b val="0"/>
        <i val="0"/>
      </font>
      <fill>
        <patternFill patternType="solid">
          <fgColor rgb="FFFF9C85"/>
          <bgColor rgb="FFFF8989"/>
        </patternFill>
      </fill>
    </dxf>
  </dxfs>
  <tableStyles count="0" defaultTableStyle="TableStyleMedium2" defaultPivotStyle="PivotStyleLight16"/>
  <colors>
    <mruColors>
      <color rgb="FFFF8989"/>
      <color rgb="FFFF61D2"/>
      <color rgb="FFFF9797"/>
      <color rgb="FFFF9C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Both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noFill/>
              </a:ln>
              <a:effectLst/>
            </c:spPr>
          </c:marker>
          <c:xVal>
            <c:numRef>
              <c:f>(Sheet1!$I$36,Sheet1!$I$37,Sheet1!$F$28,Sheet1!$L$27,Sheet1!$L$25,Sheet1!$L$29)</c:f>
              <c:numCache>
                <c:formatCode>General</c:formatCode>
                <c:ptCount val="6"/>
                <c:pt idx="0">
                  <c:v>316.40000000000003</c:v>
                </c:pt>
                <c:pt idx="1">
                  <c:v>288.40000000000003</c:v>
                </c:pt>
                <c:pt idx="2">
                  <c:v>310.8</c:v>
                </c:pt>
                <c:pt idx="3">
                  <c:v>336</c:v>
                </c:pt>
                <c:pt idx="4">
                  <c:v>364</c:v>
                </c:pt>
                <c:pt idx="5">
                  <c:v>288.40000000000003</c:v>
                </c:pt>
              </c:numCache>
            </c:numRef>
          </c:xVal>
          <c:yVal>
            <c:numRef>
              <c:f>(Sheet1!$G$28,Sheet1!$J$36,Sheet1!$J$37,Sheet1!$M$25,Sheet1!$M$27,Sheet1!$M$29)</c:f>
              <c:numCache>
                <c:formatCode>General</c:formatCode>
                <c:ptCount val="6"/>
                <c:pt idx="0">
                  <c:v>0.3</c:v>
                </c:pt>
                <c:pt idx="1">
                  <c:v>0.31</c:v>
                </c:pt>
                <c:pt idx="2">
                  <c:v>0.28999999999999998</c:v>
                </c:pt>
                <c:pt idx="3">
                  <c:v>0.34</c:v>
                </c:pt>
                <c:pt idx="4">
                  <c:v>0.35</c:v>
                </c:pt>
                <c:pt idx="5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8A0E-4A9E-B7A1-8ED9ABF809D6}"/>
            </c:ext>
          </c:extLst>
        </c:ser>
        <c:ser>
          <c:idx val="1"/>
          <c:order val="1"/>
          <c:tx>
            <c:v>Only 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(Sheet1!$C$34,Sheet1!$F$31,Sheet1!$F$34,Sheet1!$L$26,Sheet1!$L$34)</c:f>
              <c:numCache>
                <c:formatCode>General</c:formatCode>
                <c:ptCount val="5"/>
                <c:pt idx="0">
                  <c:v>285.59999999999997</c:v>
                </c:pt>
                <c:pt idx="1">
                  <c:v>282.8</c:v>
                </c:pt>
                <c:pt idx="2">
                  <c:v>288.40000000000003</c:v>
                </c:pt>
                <c:pt idx="3">
                  <c:v>285.59999999999997</c:v>
                </c:pt>
                <c:pt idx="4">
                  <c:v>288.40000000000003</c:v>
                </c:pt>
              </c:numCache>
            </c:numRef>
          </c:xVal>
          <c:yVal>
            <c:numRef>
              <c:f>(Sheet1!$D$34,Sheet1!$G$31,Sheet1!$G$34,Sheet1!$M$26,Sheet1!$M$34)</c:f>
              <c:numCache>
                <c:formatCode>General</c:formatCode>
                <c:ptCount val="5"/>
                <c:pt idx="0">
                  <c:v>0.27</c:v>
                </c:pt>
                <c:pt idx="1">
                  <c:v>0.24</c:v>
                </c:pt>
                <c:pt idx="2">
                  <c:v>0.27</c:v>
                </c:pt>
                <c:pt idx="3">
                  <c:v>0.26</c:v>
                </c:pt>
                <c:pt idx="4">
                  <c:v>0.28000000000000003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8A0E-4A9E-B7A1-8ED9ABF809D6}"/>
            </c:ext>
          </c:extLst>
        </c:ser>
        <c:ser>
          <c:idx val="2"/>
          <c:order val="2"/>
          <c:tx>
            <c:v>Only 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numRef>
              <c:f>(Sheet1!$I$29,Sheet1!$L$24,Sheet1!$L$37)</c:f>
              <c:numCache>
                <c:formatCode>General</c:formatCode>
                <c:ptCount val="3"/>
                <c:pt idx="0">
                  <c:v>246.40000000000003</c:v>
                </c:pt>
                <c:pt idx="1">
                  <c:v>240.79999999999998</c:v>
                </c:pt>
                <c:pt idx="2">
                  <c:v>238</c:v>
                </c:pt>
              </c:numCache>
            </c:numRef>
          </c:xVal>
          <c:yVal>
            <c:numRef>
              <c:f>(Sheet1!$J$29,Sheet1!$M$24,Sheet1!$M$37)</c:f>
              <c:numCache>
                <c:formatCode>General</c:formatCode>
                <c:ptCount val="3"/>
                <c:pt idx="0">
                  <c:v>0.3</c:v>
                </c:pt>
                <c:pt idx="1">
                  <c:v>0.31</c:v>
                </c:pt>
                <c:pt idx="2">
                  <c:v>0.28999999999999998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8A0E-4A9E-B7A1-8ED9ABF809D6}"/>
            </c:ext>
          </c:extLst>
        </c:ser>
        <c:ser>
          <c:idx val="3"/>
          <c:order val="3"/>
          <c:tx>
            <c:v>Other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8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(Sheet1!$C$23:$C$33,Sheet1!$C$35:$C$37,Sheet1!$F$23:$F$27,Sheet1!$F$29:$F$30,Sheet1!$F$32:$F$33,Sheet1!$F$35:$F$37,Sheet1!$I$23:$I$28,Sheet1!$I$30:$I$35,Sheet1!$L$23,Sheet1!$L$28,Sheet1!$L$30:$L$33,Sheet1!$L$35:$L$36)</c:f>
              <c:numCache>
                <c:formatCode>General</c:formatCode>
                <c:ptCount val="46"/>
                <c:pt idx="0">
                  <c:v>70</c:v>
                </c:pt>
                <c:pt idx="1">
                  <c:v>106.39999999999999</c:v>
                </c:pt>
                <c:pt idx="2">
                  <c:v>106.39999999999999</c:v>
                </c:pt>
                <c:pt idx="3">
                  <c:v>106.39999999999999</c:v>
                </c:pt>
                <c:pt idx="4">
                  <c:v>176.4</c:v>
                </c:pt>
                <c:pt idx="5">
                  <c:v>176.4</c:v>
                </c:pt>
                <c:pt idx="6">
                  <c:v>128.79999999999998</c:v>
                </c:pt>
                <c:pt idx="7">
                  <c:v>240.79999999999998</c:v>
                </c:pt>
                <c:pt idx="8">
                  <c:v>128.79999999999998</c:v>
                </c:pt>
                <c:pt idx="9">
                  <c:v>215.6</c:v>
                </c:pt>
                <c:pt idx="10">
                  <c:v>182</c:v>
                </c:pt>
                <c:pt idx="11">
                  <c:v>128.79999999999998</c:v>
                </c:pt>
                <c:pt idx="12">
                  <c:v>235.20000000000002</c:v>
                </c:pt>
                <c:pt idx="13">
                  <c:v>238</c:v>
                </c:pt>
                <c:pt idx="14">
                  <c:v>235.20000000000002</c:v>
                </c:pt>
                <c:pt idx="15">
                  <c:v>103.60000000000001</c:v>
                </c:pt>
                <c:pt idx="16">
                  <c:v>238</c:v>
                </c:pt>
                <c:pt idx="17">
                  <c:v>154</c:v>
                </c:pt>
                <c:pt idx="18">
                  <c:v>120.39999999999999</c:v>
                </c:pt>
                <c:pt idx="19">
                  <c:v>148.4</c:v>
                </c:pt>
                <c:pt idx="20">
                  <c:v>154</c:v>
                </c:pt>
                <c:pt idx="21">
                  <c:v>159.6</c:v>
                </c:pt>
                <c:pt idx="22">
                  <c:v>137.20000000000002</c:v>
                </c:pt>
                <c:pt idx="23">
                  <c:v>221.20000000000002</c:v>
                </c:pt>
                <c:pt idx="24">
                  <c:v>75.600000000000009</c:v>
                </c:pt>
                <c:pt idx="25">
                  <c:v>64.399999999999991</c:v>
                </c:pt>
                <c:pt idx="26">
                  <c:v>182</c:v>
                </c:pt>
                <c:pt idx="27">
                  <c:v>159.6</c:v>
                </c:pt>
                <c:pt idx="28">
                  <c:v>131.6</c:v>
                </c:pt>
                <c:pt idx="29">
                  <c:v>238</c:v>
                </c:pt>
                <c:pt idx="30">
                  <c:v>154</c:v>
                </c:pt>
                <c:pt idx="31">
                  <c:v>128.79999999999998</c:v>
                </c:pt>
                <c:pt idx="32">
                  <c:v>238</c:v>
                </c:pt>
                <c:pt idx="33">
                  <c:v>162.4</c:v>
                </c:pt>
                <c:pt idx="34">
                  <c:v>212.79999999999998</c:v>
                </c:pt>
                <c:pt idx="35">
                  <c:v>103.60000000000001</c:v>
                </c:pt>
                <c:pt idx="36">
                  <c:v>182</c:v>
                </c:pt>
                <c:pt idx="37">
                  <c:v>187.6</c:v>
                </c:pt>
                <c:pt idx="38">
                  <c:v>176.4</c:v>
                </c:pt>
                <c:pt idx="39">
                  <c:v>159.6</c:v>
                </c:pt>
                <c:pt idx="40">
                  <c:v>154</c:v>
                </c:pt>
                <c:pt idx="41">
                  <c:v>95.2</c:v>
                </c:pt>
                <c:pt idx="42">
                  <c:v>221.20000000000002</c:v>
                </c:pt>
                <c:pt idx="43">
                  <c:v>137.20000000000002</c:v>
                </c:pt>
                <c:pt idx="44">
                  <c:v>128.79999999999998</c:v>
                </c:pt>
                <c:pt idx="45">
                  <c:v>235.20000000000002</c:v>
                </c:pt>
              </c:numCache>
            </c:numRef>
          </c:xVal>
          <c:yVal>
            <c:numRef>
              <c:f>(Sheet1!$D$23:$D$33,Sheet1!$D$35:$D$37,Sheet1!$G$23:$G$27,Sheet1!$G$29:$G$30,Sheet1!$G$32:$G$33,Sheet1!$G$35:$G$37,Sheet1!$J$23:$J$28,Sheet1!$J$30:$J$35,Sheet1!$M$23,Sheet1!$M$28,Sheet1!$M$30:$M$33,Sheet1!$M$35:$M$36)</c:f>
              <c:numCache>
                <c:formatCode>General</c:formatCode>
                <c:ptCount val="46"/>
                <c:pt idx="0">
                  <c:v>7.0000000000000007E-2</c:v>
                </c:pt>
                <c:pt idx="1">
                  <c:v>7.0000000000000007E-2</c:v>
                </c:pt>
                <c:pt idx="2">
                  <c:v>0.09</c:v>
                </c:pt>
                <c:pt idx="3">
                  <c:v>0.15</c:v>
                </c:pt>
                <c:pt idx="4">
                  <c:v>0.15</c:v>
                </c:pt>
                <c:pt idx="5">
                  <c:v>0.18</c:v>
                </c:pt>
                <c:pt idx="6">
                  <c:v>0.1</c:v>
                </c:pt>
                <c:pt idx="7">
                  <c:v>0.28000000000000003</c:v>
                </c:pt>
                <c:pt idx="8">
                  <c:v>0.15</c:v>
                </c:pt>
                <c:pt idx="9">
                  <c:v>0.23</c:v>
                </c:pt>
                <c:pt idx="10">
                  <c:v>0.22</c:v>
                </c:pt>
                <c:pt idx="11">
                  <c:v>0.18</c:v>
                </c:pt>
                <c:pt idx="12">
                  <c:v>0.26</c:v>
                </c:pt>
                <c:pt idx="13">
                  <c:v>0.27</c:v>
                </c:pt>
                <c:pt idx="14">
                  <c:v>0.18</c:v>
                </c:pt>
                <c:pt idx="15">
                  <c:v>0.05</c:v>
                </c:pt>
                <c:pt idx="16">
                  <c:v>0.28000000000000003</c:v>
                </c:pt>
                <c:pt idx="17">
                  <c:v>0.1</c:v>
                </c:pt>
                <c:pt idx="18">
                  <c:v>0.08</c:v>
                </c:pt>
                <c:pt idx="19">
                  <c:v>0.08</c:v>
                </c:pt>
                <c:pt idx="20">
                  <c:v>0.15</c:v>
                </c:pt>
                <c:pt idx="21">
                  <c:v>0.15</c:v>
                </c:pt>
                <c:pt idx="22">
                  <c:v>0.17</c:v>
                </c:pt>
                <c:pt idx="23">
                  <c:v>0.24</c:v>
                </c:pt>
                <c:pt idx="24">
                  <c:v>0.06</c:v>
                </c:pt>
                <c:pt idx="25">
                  <c:v>0.05</c:v>
                </c:pt>
                <c:pt idx="26">
                  <c:v>0.18</c:v>
                </c:pt>
                <c:pt idx="27">
                  <c:v>0.12</c:v>
                </c:pt>
                <c:pt idx="28">
                  <c:v>0.2</c:v>
                </c:pt>
                <c:pt idx="29">
                  <c:v>0.22</c:v>
                </c:pt>
                <c:pt idx="30">
                  <c:v>0.11</c:v>
                </c:pt>
                <c:pt idx="31">
                  <c:v>0.11</c:v>
                </c:pt>
                <c:pt idx="32">
                  <c:v>0.27</c:v>
                </c:pt>
                <c:pt idx="33">
                  <c:v>0.16</c:v>
                </c:pt>
                <c:pt idx="34">
                  <c:v>0.22</c:v>
                </c:pt>
                <c:pt idx="35">
                  <c:v>0.04</c:v>
                </c:pt>
                <c:pt idx="36">
                  <c:v>0.17</c:v>
                </c:pt>
                <c:pt idx="37">
                  <c:v>0.18</c:v>
                </c:pt>
                <c:pt idx="38">
                  <c:v>0.16</c:v>
                </c:pt>
                <c:pt idx="39">
                  <c:v>0.17</c:v>
                </c:pt>
                <c:pt idx="40">
                  <c:v>0.1</c:v>
                </c:pt>
                <c:pt idx="41">
                  <c:v>0.03</c:v>
                </c:pt>
                <c:pt idx="42">
                  <c:v>0.24</c:v>
                </c:pt>
                <c:pt idx="43">
                  <c:v>0.18</c:v>
                </c:pt>
                <c:pt idx="44">
                  <c:v>0.09</c:v>
                </c:pt>
                <c:pt idx="45">
                  <c:v>0.27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8A0E-4A9E-B7A1-8ED9ABF809D6}"/>
            </c:ext>
          </c:extLst>
        </c:ser>
        <c:ser>
          <c:idx val="4"/>
          <c:order val="4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380</c:v>
              </c:pt>
            </c:numLit>
          </c:xVal>
          <c:yVal>
            <c:numRef>
              <c:f>(Sheet1!$P$23,Sheet1!$P$23)</c:f>
              <c:numCache>
                <c:formatCode>General</c:formatCode>
                <c:ptCount val="2"/>
                <c:pt idx="0">
                  <c:v>0.28000000000000003</c:v>
                </c:pt>
                <c:pt idx="1">
                  <c:v>0.28000000000000003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8A0E-4A9E-B7A1-8ED9ABF809D6}"/>
            </c:ext>
          </c:extLst>
        </c:ser>
        <c:ser>
          <c:idx val="5"/>
          <c:order val="5"/>
          <c:tx>
            <c:v>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(Sheet1!$P$22,Sheet1!$Q$22)</c:f>
              <c:numCache>
                <c:formatCode>General</c:formatCode>
                <c:ptCount val="2"/>
                <c:pt idx="0">
                  <c:v>280</c:v>
                </c:pt>
                <c:pt idx="1">
                  <c:v>279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0.36</c:v>
              </c:pt>
              <c:pt idx="1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23-8A0E-4A9E-B7A1-8ED9ABF80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339232"/>
        <c:axId val="1656340480"/>
      </c:scatterChart>
      <c:valAx>
        <c:axId val="165633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656340480"/>
        <c:crosses val="autoZero"/>
        <c:crossBetween val="midCat"/>
      </c:valAx>
      <c:valAx>
        <c:axId val="165634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656339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396665</xdr:colOff>
      <xdr:row>23</xdr:row>
      <xdr:rowOff>80647</xdr:rowOff>
    </xdr:from>
    <xdr:to>
      <xdr:col>23</xdr:col>
      <xdr:colOff>588064</xdr:colOff>
      <xdr:row>43</xdr:row>
      <xdr:rowOff>47457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82550C-D853-4810-AD20-1A8C5E8E22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37"/>
  <sheetViews>
    <sheetView tabSelected="1" topLeftCell="A19" zoomScale="115" zoomScaleNormal="115" workbookViewId="0">
      <selection activeCell="J39" sqref="J39"/>
    </sheetView>
  </sheetViews>
  <sheetFormatPr defaultRowHeight="14.4" x14ac:dyDescent="0.3"/>
  <sheetData>
    <row r="1" spans="2:13" ht="15" thickBot="1" x14ac:dyDescent="0.35"/>
    <row r="2" spans="2:13" x14ac:dyDescent="0.3">
      <c r="B2" s="1" t="s">
        <v>0</v>
      </c>
      <c r="C2" s="34" t="s">
        <v>2</v>
      </c>
      <c r="D2" s="30" t="s">
        <v>3</v>
      </c>
      <c r="E2" s="3" t="s">
        <v>0</v>
      </c>
      <c r="F2" s="34" t="s">
        <v>2</v>
      </c>
      <c r="G2" s="30" t="s">
        <v>3</v>
      </c>
      <c r="H2" s="3" t="s">
        <v>0</v>
      </c>
      <c r="I2" s="34" t="s">
        <v>2</v>
      </c>
      <c r="J2" s="30" t="s">
        <v>3</v>
      </c>
      <c r="K2" s="3" t="s">
        <v>0</v>
      </c>
      <c r="L2" s="32" t="s">
        <v>2</v>
      </c>
      <c r="M2" s="34" t="s">
        <v>3</v>
      </c>
    </row>
    <row r="3" spans="2:13" ht="15" thickBot="1" x14ac:dyDescent="0.35">
      <c r="B3" s="2" t="s">
        <v>1</v>
      </c>
      <c r="C3" s="35"/>
      <c r="D3" s="31"/>
      <c r="E3" s="4" t="s">
        <v>1</v>
      </c>
      <c r="F3" s="35"/>
      <c r="G3" s="31"/>
      <c r="H3" s="4" t="s">
        <v>1</v>
      </c>
      <c r="I3" s="35"/>
      <c r="J3" s="31"/>
      <c r="K3" s="4" t="s">
        <v>1</v>
      </c>
      <c r="L3" s="33"/>
      <c r="M3" s="35"/>
    </row>
    <row r="4" spans="2:13" ht="15" thickBot="1" x14ac:dyDescent="0.35">
      <c r="B4" s="5">
        <v>1</v>
      </c>
      <c r="C4" s="6">
        <v>2.5</v>
      </c>
      <c r="D4" s="7">
        <v>7.0000000000000007E-2</v>
      </c>
      <c r="E4" s="6">
        <v>16</v>
      </c>
      <c r="F4" s="6">
        <v>8.4</v>
      </c>
      <c r="G4" s="7">
        <v>0.18</v>
      </c>
      <c r="H4" s="6">
        <v>31</v>
      </c>
      <c r="I4" s="6">
        <v>6.5</v>
      </c>
      <c r="J4" s="7">
        <v>0.18</v>
      </c>
      <c r="K4" s="6">
        <v>46</v>
      </c>
      <c r="L4" s="8">
        <v>6.3</v>
      </c>
      <c r="M4" s="6">
        <v>0.16</v>
      </c>
    </row>
    <row r="5" spans="2:13" ht="15" thickBot="1" x14ac:dyDescent="0.35">
      <c r="B5" s="5">
        <v>2</v>
      </c>
      <c r="C5" s="6">
        <v>3.8</v>
      </c>
      <c r="D5" s="7">
        <v>7.0000000000000007E-2</v>
      </c>
      <c r="E5" s="6">
        <v>17</v>
      </c>
      <c r="F5" s="6">
        <v>3.7</v>
      </c>
      <c r="G5" s="7">
        <v>0.05</v>
      </c>
      <c r="H5" s="6">
        <v>32</v>
      </c>
      <c r="I5" s="6">
        <v>5.7</v>
      </c>
      <c r="J5" s="7">
        <v>0.12</v>
      </c>
      <c r="K5" s="6">
        <v>47</v>
      </c>
      <c r="L5" s="8">
        <v>8.6</v>
      </c>
      <c r="M5" s="6">
        <v>0.31</v>
      </c>
    </row>
    <row r="6" spans="2:13" ht="15" thickBot="1" x14ac:dyDescent="0.35">
      <c r="B6" s="5">
        <v>3</v>
      </c>
      <c r="C6" s="6">
        <v>3.8</v>
      </c>
      <c r="D6" s="7">
        <v>0.09</v>
      </c>
      <c r="E6" s="6">
        <v>18</v>
      </c>
      <c r="F6" s="6">
        <v>8.5</v>
      </c>
      <c r="G6" s="7">
        <v>0.28000000000000003</v>
      </c>
      <c r="H6" s="6">
        <v>33</v>
      </c>
      <c r="I6" s="6">
        <v>4.7</v>
      </c>
      <c r="J6" s="7">
        <v>0.2</v>
      </c>
      <c r="K6" s="6">
        <v>48</v>
      </c>
      <c r="L6" s="8">
        <v>13</v>
      </c>
      <c r="M6" s="6">
        <v>0.34</v>
      </c>
    </row>
    <row r="7" spans="2:13" ht="15" thickBot="1" x14ac:dyDescent="0.35">
      <c r="B7" s="5">
        <v>4</v>
      </c>
      <c r="C7" s="6">
        <v>3.8</v>
      </c>
      <c r="D7" s="7">
        <v>0.15</v>
      </c>
      <c r="E7" s="6">
        <v>19</v>
      </c>
      <c r="F7" s="6">
        <v>5.5</v>
      </c>
      <c r="G7" s="7">
        <v>0.1</v>
      </c>
      <c r="H7" s="6">
        <v>34</v>
      </c>
      <c r="I7" s="6">
        <v>8.5</v>
      </c>
      <c r="J7" s="7">
        <v>0.22</v>
      </c>
      <c r="K7" s="6">
        <v>49</v>
      </c>
      <c r="L7" s="8">
        <v>10.199999999999999</v>
      </c>
      <c r="M7" s="6">
        <v>0.26</v>
      </c>
    </row>
    <row r="8" spans="2:13" ht="15" thickBot="1" x14ac:dyDescent="0.35">
      <c r="B8" s="5">
        <v>5</v>
      </c>
      <c r="C8" s="6">
        <v>6.3</v>
      </c>
      <c r="D8" s="7">
        <v>0.15</v>
      </c>
      <c r="E8" s="6">
        <v>20</v>
      </c>
      <c r="F8" s="6">
        <v>4.3</v>
      </c>
      <c r="G8" s="7">
        <v>0.08</v>
      </c>
      <c r="H8" s="6">
        <v>35</v>
      </c>
      <c r="I8" s="6">
        <v>5.5</v>
      </c>
      <c r="J8" s="7">
        <v>0.11</v>
      </c>
      <c r="K8" s="6">
        <v>50</v>
      </c>
      <c r="L8" s="8">
        <v>12</v>
      </c>
      <c r="M8" s="6">
        <v>0.35</v>
      </c>
    </row>
    <row r="9" spans="2:13" ht="15" thickBot="1" x14ac:dyDescent="0.35">
      <c r="B9" s="5">
        <v>6</v>
      </c>
      <c r="C9" s="6">
        <v>6.3</v>
      </c>
      <c r="D9" s="7">
        <v>0.18</v>
      </c>
      <c r="E9" s="6">
        <v>21</v>
      </c>
      <c r="F9" s="6">
        <v>11.1</v>
      </c>
      <c r="G9" s="7">
        <v>0.3</v>
      </c>
      <c r="H9" s="6">
        <v>36</v>
      </c>
      <c r="I9" s="6">
        <v>4.5999999999999996</v>
      </c>
      <c r="J9" s="7">
        <v>0.11</v>
      </c>
      <c r="K9" s="6">
        <v>51</v>
      </c>
      <c r="L9" s="8">
        <v>5.7</v>
      </c>
      <c r="M9" s="6">
        <v>0.17</v>
      </c>
    </row>
    <row r="10" spans="2:13" ht="15" thickBot="1" x14ac:dyDescent="0.35">
      <c r="B10" s="5">
        <v>7</v>
      </c>
      <c r="C10" s="6">
        <v>4.5999999999999996</v>
      </c>
      <c r="D10" s="7">
        <v>0.1</v>
      </c>
      <c r="E10" s="6">
        <v>22</v>
      </c>
      <c r="F10" s="6">
        <v>5.3</v>
      </c>
      <c r="G10" s="7">
        <v>0.08</v>
      </c>
      <c r="H10" s="6">
        <v>37</v>
      </c>
      <c r="I10" s="6">
        <v>8.8000000000000007</v>
      </c>
      <c r="J10" s="7">
        <v>0.3</v>
      </c>
      <c r="K10" s="6">
        <v>52</v>
      </c>
      <c r="L10" s="8">
        <v>10.3</v>
      </c>
      <c r="M10" s="6">
        <v>0.3</v>
      </c>
    </row>
    <row r="11" spans="2:13" ht="15" thickBot="1" x14ac:dyDescent="0.35">
      <c r="B11" s="5">
        <v>8</v>
      </c>
      <c r="C11" s="6">
        <v>8.6</v>
      </c>
      <c r="D11" s="7">
        <v>0.28000000000000003</v>
      </c>
      <c r="E11" s="6">
        <v>23</v>
      </c>
      <c r="F11" s="6">
        <v>5.5</v>
      </c>
      <c r="G11" s="7">
        <v>0.15</v>
      </c>
      <c r="H11" s="6">
        <v>38</v>
      </c>
      <c r="I11" s="6">
        <v>8.5</v>
      </c>
      <c r="J11" s="7">
        <v>0.27</v>
      </c>
      <c r="K11" s="6">
        <v>53</v>
      </c>
      <c r="L11" s="8">
        <v>5.5</v>
      </c>
      <c r="M11" s="6">
        <v>0.1</v>
      </c>
    </row>
    <row r="12" spans="2:13" ht="15" thickBot="1" x14ac:dyDescent="0.35">
      <c r="B12" s="5">
        <v>9</v>
      </c>
      <c r="C12" s="6">
        <v>4.5999999999999996</v>
      </c>
      <c r="D12" s="7">
        <v>0.15</v>
      </c>
      <c r="E12" s="6">
        <v>24</v>
      </c>
      <c r="F12" s="6">
        <v>10.1</v>
      </c>
      <c r="G12" s="7">
        <v>0.24</v>
      </c>
      <c r="H12" s="6">
        <v>39</v>
      </c>
      <c r="I12" s="6">
        <v>5.8</v>
      </c>
      <c r="J12" s="7">
        <v>0.16</v>
      </c>
      <c r="K12" s="6">
        <v>54</v>
      </c>
      <c r="L12" s="8">
        <v>3.4</v>
      </c>
      <c r="M12" s="6">
        <v>0.03</v>
      </c>
    </row>
    <row r="13" spans="2:13" ht="15" thickBot="1" x14ac:dyDescent="0.35">
      <c r="B13" s="5">
        <v>10</v>
      </c>
      <c r="C13" s="6">
        <v>7.7</v>
      </c>
      <c r="D13" s="7">
        <v>0.23</v>
      </c>
      <c r="E13" s="6">
        <v>25</v>
      </c>
      <c r="F13" s="6">
        <v>5.7</v>
      </c>
      <c r="G13" s="7">
        <v>0.15</v>
      </c>
      <c r="H13" s="6">
        <v>40</v>
      </c>
      <c r="I13" s="6">
        <v>7.6</v>
      </c>
      <c r="J13" s="7">
        <v>0.22</v>
      </c>
      <c r="K13" s="6">
        <v>55</v>
      </c>
      <c r="L13" s="8">
        <v>7.9</v>
      </c>
      <c r="M13" s="6">
        <v>0.24</v>
      </c>
    </row>
    <row r="14" spans="2:13" ht="15" thickBot="1" x14ac:dyDescent="0.35">
      <c r="B14" s="5">
        <v>11</v>
      </c>
      <c r="C14" s="6">
        <v>6.5</v>
      </c>
      <c r="D14" s="7">
        <v>0.22</v>
      </c>
      <c r="E14" s="6">
        <v>26</v>
      </c>
      <c r="F14" s="6">
        <v>4.9000000000000004</v>
      </c>
      <c r="G14" s="7">
        <v>0.17</v>
      </c>
      <c r="H14" s="6">
        <v>41</v>
      </c>
      <c r="I14" s="6">
        <v>3.7</v>
      </c>
      <c r="J14" s="7">
        <v>0.04</v>
      </c>
      <c r="K14" s="6">
        <v>56</v>
      </c>
      <c r="L14" s="8">
        <v>4.9000000000000004</v>
      </c>
      <c r="M14" s="6">
        <v>0.18</v>
      </c>
    </row>
    <row r="15" spans="2:13" ht="15" thickBot="1" x14ac:dyDescent="0.35">
      <c r="B15" s="5">
        <v>12</v>
      </c>
      <c r="C15" s="6">
        <v>10.199999999999999</v>
      </c>
      <c r="D15" s="7">
        <v>0.27</v>
      </c>
      <c r="E15" s="6">
        <v>27</v>
      </c>
      <c r="F15" s="6">
        <v>10.3</v>
      </c>
      <c r="G15" s="7">
        <v>0.27</v>
      </c>
      <c r="H15" s="6">
        <v>42</v>
      </c>
      <c r="I15" s="6">
        <v>6.5</v>
      </c>
      <c r="J15" s="7">
        <v>0.17</v>
      </c>
      <c r="K15" s="6">
        <v>57</v>
      </c>
      <c r="L15" s="8">
        <v>10.3</v>
      </c>
      <c r="M15" s="6">
        <v>0.28000000000000003</v>
      </c>
    </row>
    <row r="16" spans="2:13" ht="15" thickBot="1" x14ac:dyDescent="0.35">
      <c r="B16" s="5">
        <v>13</v>
      </c>
      <c r="C16" s="6">
        <v>4.5999999999999996</v>
      </c>
      <c r="D16" s="7">
        <v>0.18</v>
      </c>
      <c r="E16" s="6">
        <v>28</v>
      </c>
      <c r="F16" s="6">
        <v>7.9</v>
      </c>
      <c r="G16" s="7">
        <v>0.24</v>
      </c>
      <c r="H16" s="6">
        <v>43</v>
      </c>
      <c r="I16" s="6">
        <v>6.7</v>
      </c>
      <c r="J16" s="7">
        <v>0.18</v>
      </c>
      <c r="K16" s="6">
        <v>58</v>
      </c>
      <c r="L16" s="8">
        <v>4.5999999999999996</v>
      </c>
      <c r="M16" s="6">
        <v>0.09</v>
      </c>
    </row>
    <row r="17" spans="2:17" ht="15" thickBot="1" x14ac:dyDescent="0.35">
      <c r="B17" s="5">
        <v>14</v>
      </c>
      <c r="C17" s="6">
        <v>8.4</v>
      </c>
      <c r="D17" s="7">
        <v>0.26</v>
      </c>
      <c r="E17" s="6">
        <v>29</v>
      </c>
      <c r="F17" s="6">
        <v>2.7</v>
      </c>
      <c r="G17" s="7">
        <v>0.06</v>
      </c>
      <c r="H17" s="6">
        <v>44</v>
      </c>
      <c r="I17" s="6">
        <v>11.3</v>
      </c>
      <c r="J17" s="7">
        <v>0.31</v>
      </c>
      <c r="K17" s="6">
        <v>59</v>
      </c>
      <c r="L17" s="8">
        <v>8.4</v>
      </c>
      <c r="M17" s="6">
        <v>0.27</v>
      </c>
    </row>
    <row r="18" spans="2:17" ht="15" thickBot="1" x14ac:dyDescent="0.35">
      <c r="B18" s="5">
        <v>15</v>
      </c>
      <c r="C18" s="6">
        <v>8.5</v>
      </c>
      <c r="D18" s="7">
        <v>0.27</v>
      </c>
      <c r="E18" s="6">
        <v>30</v>
      </c>
      <c r="F18" s="6">
        <v>2.2999999999999998</v>
      </c>
      <c r="G18" s="7">
        <v>0.05</v>
      </c>
      <c r="H18" s="6">
        <v>45</v>
      </c>
      <c r="I18" s="6">
        <v>10.3</v>
      </c>
      <c r="J18" s="7">
        <v>0.28999999999999998</v>
      </c>
      <c r="K18" s="6">
        <v>60</v>
      </c>
      <c r="L18" s="8">
        <v>8.5</v>
      </c>
      <c r="M18" s="6">
        <v>0.28999999999999998</v>
      </c>
    </row>
    <row r="21" spans="2:17" x14ac:dyDescent="0.3">
      <c r="B21" s="20" t="s">
        <v>0</v>
      </c>
      <c r="C21" s="26" t="s">
        <v>7</v>
      </c>
      <c r="D21" s="28" t="s">
        <v>8</v>
      </c>
      <c r="E21" s="21" t="s">
        <v>0</v>
      </c>
      <c r="F21" s="26" t="s">
        <v>7</v>
      </c>
      <c r="G21" s="28" t="s">
        <v>8</v>
      </c>
      <c r="H21" s="21" t="s">
        <v>0</v>
      </c>
      <c r="I21" s="26" t="s">
        <v>7</v>
      </c>
      <c r="J21" s="28" t="s">
        <v>8</v>
      </c>
      <c r="K21" s="21" t="s">
        <v>0</v>
      </c>
      <c r="L21" s="24" t="s">
        <v>7</v>
      </c>
      <c r="M21" s="26" t="s">
        <v>8</v>
      </c>
      <c r="O21" t="s">
        <v>4</v>
      </c>
      <c r="P21">
        <v>28</v>
      </c>
    </row>
    <row r="22" spans="2:17" ht="15" thickBot="1" x14ac:dyDescent="0.35">
      <c r="B22" s="22" t="s">
        <v>1</v>
      </c>
      <c r="C22" s="27"/>
      <c r="D22" s="29"/>
      <c r="E22" s="23" t="s">
        <v>1</v>
      </c>
      <c r="F22" s="27"/>
      <c r="G22" s="29"/>
      <c r="H22" s="23" t="s">
        <v>1</v>
      </c>
      <c r="I22" s="27"/>
      <c r="J22" s="29"/>
      <c r="K22" s="23" t="s">
        <v>1</v>
      </c>
      <c r="L22" s="25"/>
      <c r="M22" s="27"/>
      <c r="O22" t="s">
        <v>5</v>
      </c>
      <c r="P22">
        <f>$P$21*10</f>
        <v>280</v>
      </c>
      <c r="Q22" s="19">
        <f>P22-1</f>
        <v>279</v>
      </c>
    </row>
    <row r="23" spans="2:17" ht="15" thickTop="1" x14ac:dyDescent="0.3">
      <c r="B23" s="16">
        <v>1</v>
      </c>
      <c r="C23" s="16">
        <f>C4*$P$21</f>
        <v>70</v>
      </c>
      <c r="D23" s="18">
        <v>7.0000000000000007E-2</v>
      </c>
      <c r="E23" s="17">
        <v>16</v>
      </c>
      <c r="F23" s="16">
        <f>F4*$P$21</f>
        <v>235.20000000000002</v>
      </c>
      <c r="G23" s="18">
        <v>0.18</v>
      </c>
      <c r="H23" s="17">
        <v>31</v>
      </c>
      <c r="I23" s="16">
        <f>I4*$P$21</f>
        <v>182</v>
      </c>
      <c r="J23" s="18">
        <v>0.18</v>
      </c>
      <c r="K23" s="17">
        <v>46</v>
      </c>
      <c r="L23" s="16">
        <f>L4*$P$21</f>
        <v>176.4</v>
      </c>
      <c r="M23" s="16">
        <v>0.16</v>
      </c>
      <c r="O23" t="s">
        <v>6</v>
      </c>
      <c r="P23">
        <f>$P$21/100</f>
        <v>0.28000000000000003</v>
      </c>
    </row>
    <row r="24" spans="2:17" x14ac:dyDescent="0.3">
      <c r="B24" s="9">
        <v>2</v>
      </c>
      <c r="C24" s="9">
        <f t="shared" ref="C24:C37" si="0">C5*$P$21</f>
        <v>106.39999999999999</v>
      </c>
      <c r="D24" s="14">
        <v>7.0000000000000007E-2</v>
      </c>
      <c r="E24" s="11">
        <v>17</v>
      </c>
      <c r="F24" s="9">
        <f t="shared" ref="F24:F37" si="1">F5*$P$21</f>
        <v>103.60000000000001</v>
      </c>
      <c r="G24" s="14">
        <v>0.05</v>
      </c>
      <c r="H24" s="11">
        <v>32</v>
      </c>
      <c r="I24" s="9">
        <f t="shared" ref="I24:I37" si="2">I5*$P$21</f>
        <v>159.6</v>
      </c>
      <c r="J24" s="14">
        <v>0.12</v>
      </c>
      <c r="K24" s="15">
        <v>47</v>
      </c>
      <c r="L24" s="9">
        <f t="shared" ref="L24:L37" si="3">L5*$P$21</f>
        <v>240.79999999999998</v>
      </c>
      <c r="M24" s="9">
        <v>0.31</v>
      </c>
    </row>
    <row r="25" spans="2:17" x14ac:dyDescent="0.3">
      <c r="B25" s="9">
        <v>3</v>
      </c>
      <c r="C25" s="9">
        <f t="shared" si="0"/>
        <v>106.39999999999999</v>
      </c>
      <c r="D25" s="14">
        <v>0.09</v>
      </c>
      <c r="E25" s="11">
        <v>18</v>
      </c>
      <c r="F25" s="9">
        <f t="shared" si="1"/>
        <v>238</v>
      </c>
      <c r="G25" s="14">
        <v>0.28000000000000003</v>
      </c>
      <c r="H25" s="11">
        <v>33</v>
      </c>
      <c r="I25" s="9">
        <f t="shared" si="2"/>
        <v>131.6</v>
      </c>
      <c r="J25" s="14">
        <v>0.2</v>
      </c>
      <c r="K25" s="12">
        <v>48</v>
      </c>
      <c r="L25" s="9">
        <f t="shared" si="3"/>
        <v>364</v>
      </c>
      <c r="M25" s="9">
        <v>0.34</v>
      </c>
    </row>
    <row r="26" spans="2:17" x14ac:dyDescent="0.3">
      <c r="B26" s="9">
        <v>4</v>
      </c>
      <c r="C26" s="9">
        <f t="shared" si="0"/>
        <v>106.39999999999999</v>
      </c>
      <c r="D26" s="14">
        <v>0.15</v>
      </c>
      <c r="E26" s="11">
        <v>19</v>
      </c>
      <c r="F26" s="9">
        <f t="shared" si="1"/>
        <v>154</v>
      </c>
      <c r="G26" s="14">
        <v>0.1</v>
      </c>
      <c r="H26" s="11">
        <v>34</v>
      </c>
      <c r="I26" s="9">
        <f t="shared" si="2"/>
        <v>238</v>
      </c>
      <c r="J26" s="14">
        <v>0.22</v>
      </c>
      <c r="K26" s="13">
        <v>49</v>
      </c>
      <c r="L26" s="9">
        <f t="shared" si="3"/>
        <v>285.59999999999997</v>
      </c>
      <c r="M26" s="9">
        <v>0.26</v>
      </c>
    </row>
    <row r="27" spans="2:17" x14ac:dyDescent="0.3">
      <c r="B27" s="9">
        <v>5</v>
      </c>
      <c r="C27" s="9">
        <f t="shared" si="0"/>
        <v>176.4</v>
      </c>
      <c r="D27" s="14">
        <v>0.15</v>
      </c>
      <c r="E27" s="11">
        <v>20</v>
      </c>
      <c r="F27" s="9">
        <f t="shared" si="1"/>
        <v>120.39999999999999</v>
      </c>
      <c r="G27" s="14">
        <v>0.08</v>
      </c>
      <c r="H27" s="11">
        <v>35</v>
      </c>
      <c r="I27" s="9">
        <f t="shared" si="2"/>
        <v>154</v>
      </c>
      <c r="J27" s="14">
        <v>0.11</v>
      </c>
      <c r="K27" s="12">
        <v>50</v>
      </c>
      <c r="L27" s="9">
        <f t="shared" si="3"/>
        <v>336</v>
      </c>
      <c r="M27" s="9">
        <v>0.35</v>
      </c>
    </row>
    <row r="28" spans="2:17" x14ac:dyDescent="0.3">
      <c r="B28" s="9">
        <v>6</v>
      </c>
      <c r="C28" s="9">
        <f t="shared" si="0"/>
        <v>176.4</v>
      </c>
      <c r="D28" s="14">
        <v>0.18</v>
      </c>
      <c r="E28" s="12">
        <v>21</v>
      </c>
      <c r="F28" s="9">
        <f t="shared" si="1"/>
        <v>310.8</v>
      </c>
      <c r="G28" s="14">
        <v>0.3</v>
      </c>
      <c r="H28" s="11">
        <v>36</v>
      </c>
      <c r="I28" s="9">
        <f t="shared" si="2"/>
        <v>128.79999999999998</v>
      </c>
      <c r="J28" s="14">
        <v>0.11</v>
      </c>
      <c r="K28" s="11">
        <v>51</v>
      </c>
      <c r="L28" s="9">
        <f t="shared" si="3"/>
        <v>159.6</v>
      </c>
      <c r="M28" s="9">
        <v>0.17</v>
      </c>
    </row>
    <row r="29" spans="2:17" x14ac:dyDescent="0.3">
      <c r="B29" s="9">
        <v>7</v>
      </c>
      <c r="C29" s="9">
        <f t="shared" si="0"/>
        <v>128.79999999999998</v>
      </c>
      <c r="D29" s="14">
        <v>0.1</v>
      </c>
      <c r="E29" s="11">
        <v>22</v>
      </c>
      <c r="F29" s="9">
        <f t="shared" si="1"/>
        <v>148.4</v>
      </c>
      <c r="G29" s="14">
        <v>0.08</v>
      </c>
      <c r="H29" s="15">
        <v>37</v>
      </c>
      <c r="I29" s="9">
        <f t="shared" si="2"/>
        <v>246.40000000000003</v>
      </c>
      <c r="J29" s="14">
        <v>0.3</v>
      </c>
      <c r="K29" s="12">
        <v>52</v>
      </c>
      <c r="L29" s="9">
        <f t="shared" si="3"/>
        <v>288.40000000000003</v>
      </c>
      <c r="M29" s="9">
        <v>0.3</v>
      </c>
    </row>
    <row r="30" spans="2:17" x14ac:dyDescent="0.3">
      <c r="B30" s="9">
        <v>8</v>
      </c>
      <c r="C30" s="9">
        <f t="shared" si="0"/>
        <v>240.79999999999998</v>
      </c>
      <c r="D30" s="14">
        <v>0.28000000000000003</v>
      </c>
      <c r="E30" s="11">
        <v>23</v>
      </c>
      <c r="F30" s="9">
        <f t="shared" si="1"/>
        <v>154</v>
      </c>
      <c r="G30" s="14">
        <v>0.15</v>
      </c>
      <c r="H30" s="11">
        <v>38</v>
      </c>
      <c r="I30" s="9">
        <f t="shared" si="2"/>
        <v>238</v>
      </c>
      <c r="J30" s="14">
        <v>0.27</v>
      </c>
      <c r="K30" s="11">
        <v>53</v>
      </c>
      <c r="L30" s="9">
        <f t="shared" si="3"/>
        <v>154</v>
      </c>
      <c r="M30" s="9">
        <v>0.1</v>
      </c>
    </row>
    <row r="31" spans="2:17" x14ac:dyDescent="0.3">
      <c r="B31" s="9">
        <v>9</v>
      </c>
      <c r="C31" s="9">
        <f t="shared" si="0"/>
        <v>128.79999999999998</v>
      </c>
      <c r="D31" s="14">
        <v>0.15</v>
      </c>
      <c r="E31" s="13">
        <v>24</v>
      </c>
      <c r="F31" s="9">
        <f t="shared" si="1"/>
        <v>282.8</v>
      </c>
      <c r="G31" s="14">
        <v>0.24</v>
      </c>
      <c r="H31" s="11">
        <v>39</v>
      </c>
      <c r="I31" s="9">
        <f t="shared" si="2"/>
        <v>162.4</v>
      </c>
      <c r="J31" s="14">
        <v>0.16</v>
      </c>
      <c r="K31" s="11">
        <v>54</v>
      </c>
      <c r="L31" s="9">
        <f t="shared" si="3"/>
        <v>95.2</v>
      </c>
      <c r="M31" s="9">
        <v>0.03</v>
      </c>
    </row>
    <row r="32" spans="2:17" x14ac:dyDescent="0.3">
      <c r="B32" s="9">
        <v>10</v>
      </c>
      <c r="C32" s="9">
        <f t="shared" si="0"/>
        <v>215.6</v>
      </c>
      <c r="D32" s="14">
        <v>0.23</v>
      </c>
      <c r="E32" s="11">
        <v>25</v>
      </c>
      <c r="F32" s="9">
        <f t="shared" si="1"/>
        <v>159.6</v>
      </c>
      <c r="G32" s="14">
        <v>0.15</v>
      </c>
      <c r="H32" s="11">
        <v>40</v>
      </c>
      <c r="I32" s="9">
        <f t="shared" si="2"/>
        <v>212.79999999999998</v>
      </c>
      <c r="J32" s="14">
        <v>0.22</v>
      </c>
      <c r="K32" s="11">
        <v>55</v>
      </c>
      <c r="L32" s="9">
        <f t="shared" si="3"/>
        <v>221.20000000000002</v>
      </c>
      <c r="M32" s="9">
        <v>0.24</v>
      </c>
    </row>
    <row r="33" spans="2:13" x14ac:dyDescent="0.3">
      <c r="B33" s="9">
        <v>11</v>
      </c>
      <c r="C33" s="9">
        <f t="shared" si="0"/>
        <v>182</v>
      </c>
      <c r="D33" s="14">
        <v>0.22</v>
      </c>
      <c r="E33" s="11">
        <v>26</v>
      </c>
      <c r="F33" s="9">
        <f t="shared" si="1"/>
        <v>137.20000000000002</v>
      </c>
      <c r="G33" s="14">
        <v>0.17</v>
      </c>
      <c r="H33" s="11">
        <v>41</v>
      </c>
      <c r="I33" s="9">
        <f t="shared" si="2"/>
        <v>103.60000000000001</v>
      </c>
      <c r="J33" s="14">
        <v>0.04</v>
      </c>
      <c r="K33" s="11">
        <v>56</v>
      </c>
      <c r="L33" s="9">
        <f t="shared" si="3"/>
        <v>137.20000000000002</v>
      </c>
      <c r="M33" s="9">
        <v>0.18</v>
      </c>
    </row>
    <row r="34" spans="2:13" x14ac:dyDescent="0.3">
      <c r="B34" s="10">
        <v>12</v>
      </c>
      <c r="C34" s="9">
        <f t="shared" si="0"/>
        <v>285.59999999999997</v>
      </c>
      <c r="D34" s="14">
        <v>0.27</v>
      </c>
      <c r="E34" s="13">
        <v>27</v>
      </c>
      <c r="F34" s="9">
        <f t="shared" si="1"/>
        <v>288.40000000000003</v>
      </c>
      <c r="G34" s="14">
        <v>0.27</v>
      </c>
      <c r="H34" s="11">
        <v>42</v>
      </c>
      <c r="I34" s="9">
        <f t="shared" si="2"/>
        <v>182</v>
      </c>
      <c r="J34" s="14">
        <v>0.17</v>
      </c>
      <c r="K34" s="13">
        <v>57</v>
      </c>
      <c r="L34" s="9">
        <f t="shared" si="3"/>
        <v>288.40000000000003</v>
      </c>
      <c r="M34" s="9">
        <v>0.28000000000000003</v>
      </c>
    </row>
    <row r="35" spans="2:13" x14ac:dyDescent="0.3">
      <c r="B35" s="9">
        <v>13</v>
      </c>
      <c r="C35" s="9">
        <f t="shared" si="0"/>
        <v>128.79999999999998</v>
      </c>
      <c r="D35" s="14">
        <v>0.18</v>
      </c>
      <c r="E35" s="11">
        <v>28</v>
      </c>
      <c r="F35" s="9">
        <f t="shared" si="1"/>
        <v>221.20000000000002</v>
      </c>
      <c r="G35" s="14">
        <v>0.24</v>
      </c>
      <c r="H35" s="11">
        <v>43</v>
      </c>
      <c r="I35" s="9">
        <f t="shared" si="2"/>
        <v>187.6</v>
      </c>
      <c r="J35" s="14">
        <v>0.18</v>
      </c>
      <c r="K35" s="11">
        <v>58</v>
      </c>
      <c r="L35" s="9">
        <f t="shared" si="3"/>
        <v>128.79999999999998</v>
      </c>
      <c r="M35" s="9">
        <v>0.09</v>
      </c>
    </row>
    <row r="36" spans="2:13" x14ac:dyDescent="0.3">
      <c r="B36" s="9">
        <v>14</v>
      </c>
      <c r="C36" s="9">
        <f t="shared" si="0"/>
        <v>235.20000000000002</v>
      </c>
      <c r="D36" s="14">
        <v>0.26</v>
      </c>
      <c r="E36" s="11">
        <v>29</v>
      </c>
      <c r="F36" s="9">
        <f t="shared" si="1"/>
        <v>75.600000000000009</v>
      </c>
      <c r="G36" s="14">
        <v>0.06</v>
      </c>
      <c r="H36" s="12">
        <v>44</v>
      </c>
      <c r="I36" s="9">
        <f t="shared" si="2"/>
        <v>316.40000000000003</v>
      </c>
      <c r="J36" s="14">
        <v>0.31</v>
      </c>
      <c r="K36" s="11">
        <v>59</v>
      </c>
      <c r="L36" s="9">
        <f t="shared" si="3"/>
        <v>235.20000000000002</v>
      </c>
      <c r="M36" s="9">
        <v>0.27</v>
      </c>
    </row>
    <row r="37" spans="2:13" x14ac:dyDescent="0.3">
      <c r="B37" s="9">
        <v>15</v>
      </c>
      <c r="C37" s="9">
        <f t="shared" si="0"/>
        <v>238</v>
      </c>
      <c r="D37" s="14">
        <v>0.27</v>
      </c>
      <c r="E37" s="11">
        <v>30</v>
      </c>
      <c r="F37" s="9">
        <f t="shared" si="1"/>
        <v>64.399999999999991</v>
      </c>
      <c r="G37" s="14">
        <v>0.05</v>
      </c>
      <c r="H37" s="12">
        <v>45</v>
      </c>
      <c r="I37" s="9">
        <f t="shared" si="2"/>
        <v>288.40000000000003</v>
      </c>
      <c r="J37" s="14">
        <v>0.28999999999999998</v>
      </c>
      <c r="K37" s="15">
        <v>60</v>
      </c>
      <c r="L37" s="9">
        <f t="shared" si="3"/>
        <v>238</v>
      </c>
      <c r="M37" s="9">
        <v>0.28999999999999998</v>
      </c>
    </row>
  </sheetData>
  <mergeCells count="16">
    <mergeCell ref="J2:J3"/>
    <mergeCell ref="L2:L3"/>
    <mergeCell ref="M2:M3"/>
    <mergeCell ref="C2:C3"/>
    <mergeCell ref="D2:D3"/>
    <mergeCell ref="F2:F3"/>
    <mergeCell ref="G2:G3"/>
    <mergeCell ref="I2:I3"/>
    <mergeCell ref="L21:L22"/>
    <mergeCell ref="M21:M22"/>
    <mergeCell ref="C21:C22"/>
    <mergeCell ref="D21:D22"/>
    <mergeCell ref="F21:F22"/>
    <mergeCell ref="G21:G22"/>
    <mergeCell ref="I21:I22"/>
    <mergeCell ref="J21:J22"/>
  </mergeCells>
  <conditionalFormatting sqref="C23:C37 F23:F37 I23:I37 L23:L37">
    <cfRule type="cellIs" dxfId="1" priority="3" operator="greaterThan">
      <formula>$P$22</formula>
    </cfRule>
  </conditionalFormatting>
  <conditionalFormatting sqref="D23:D37 G23:G37 J23:J37 M23:M37">
    <cfRule type="cellIs" dxfId="0" priority="1" operator="greaterThan">
      <formula>$P$23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456F0-762F-4346-861D-760DAAF4EC62}">
  <dimension ref="A1:C61"/>
  <sheetViews>
    <sheetView workbookViewId="0">
      <selection activeCell="G20" sqref="G20"/>
    </sheetView>
  </sheetViews>
  <sheetFormatPr defaultRowHeight="14.4" x14ac:dyDescent="0.3"/>
  <sheetData>
    <row r="1" spans="1:3" x14ac:dyDescent="0.3">
      <c r="A1" t="s">
        <v>11</v>
      </c>
      <c r="B1" t="s">
        <v>10</v>
      </c>
      <c r="C1" t="s">
        <v>9</v>
      </c>
    </row>
    <row r="2" spans="1:3" x14ac:dyDescent="0.3">
      <c r="A2">
        <v>1</v>
      </c>
      <c r="B2">
        <v>70</v>
      </c>
      <c r="C2">
        <v>7.0000000000000007E-2</v>
      </c>
    </row>
    <row r="3" spans="1:3" x14ac:dyDescent="0.3">
      <c r="A3">
        <v>2</v>
      </c>
      <c r="B3">
        <v>106.39999999999999</v>
      </c>
      <c r="C3">
        <v>7.0000000000000007E-2</v>
      </c>
    </row>
    <row r="4" spans="1:3" x14ac:dyDescent="0.3">
      <c r="A4">
        <v>3</v>
      </c>
      <c r="B4">
        <v>106.39999999999999</v>
      </c>
      <c r="C4">
        <v>0.09</v>
      </c>
    </row>
    <row r="5" spans="1:3" x14ac:dyDescent="0.3">
      <c r="A5">
        <v>4</v>
      </c>
      <c r="B5">
        <v>106.39999999999999</v>
      </c>
      <c r="C5">
        <v>0.15</v>
      </c>
    </row>
    <row r="6" spans="1:3" x14ac:dyDescent="0.3">
      <c r="A6">
        <v>5</v>
      </c>
      <c r="B6">
        <v>176.4</v>
      </c>
      <c r="C6">
        <v>0.15</v>
      </c>
    </row>
    <row r="7" spans="1:3" x14ac:dyDescent="0.3">
      <c r="A7">
        <v>6</v>
      </c>
      <c r="B7">
        <v>176.4</v>
      </c>
      <c r="C7">
        <v>0.18</v>
      </c>
    </row>
    <row r="8" spans="1:3" x14ac:dyDescent="0.3">
      <c r="A8">
        <v>7</v>
      </c>
      <c r="B8">
        <v>128.79999999999998</v>
      </c>
      <c r="C8">
        <v>0.1</v>
      </c>
    </row>
    <row r="9" spans="1:3" x14ac:dyDescent="0.3">
      <c r="A9">
        <v>8</v>
      </c>
      <c r="B9">
        <v>240.79999999999998</v>
      </c>
      <c r="C9">
        <v>0.28000000000000003</v>
      </c>
    </row>
    <row r="10" spans="1:3" x14ac:dyDescent="0.3">
      <c r="A10">
        <v>9</v>
      </c>
      <c r="B10">
        <v>128.79999999999998</v>
      </c>
      <c r="C10">
        <v>0.15</v>
      </c>
    </row>
    <row r="11" spans="1:3" x14ac:dyDescent="0.3">
      <c r="A11">
        <v>10</v>
      </c>
      <c r="B11">
        <v>215.6</v>
      </c>
      <c r="C11">
        <v>0.23</v>
      </c>
    </row>
    <row r="12" spans="1:3" x14ac:dyDescent="0.3">
      <c r="A12">
        <v>11</v>
      </c>
      <c r="B12">
        <v>182</v>
      </c>
      <c r="C12">
        <v>0.22</v>
      </c>
    </row>
    <row r="13" spans="1:3" x14ac:dyDescent="0.3">
      <c r="A13">
        <v>12</v>
      </c>
      <c r="B13">
        <v>285.59999999999997</v>
      </c>
      <c r="C13">
        <v>0.27</v>
      </c>
    </row>
    <row r="14" spans="1:3" x14ac:dyDescent="0.3">
      <c r="A14">
        <v>13</v>
      </c>
      <c r="B14">
        <v>128.79999999999998</v>
      </c>
      <c r="C14">
        <v>0.18</v>
      </c>
    </row>
    <row r="15" spans="1:3" x14ac:dyDescent="0.3">
      <c r="A15">
        <v>14</v>
      </c>
      <c r="B15">
        <v>235.20000000000002</v>
      </c>
      <c r="C15">
        <v>0.26</v>
      </c>
    </row>
    <row r="16" spans="1:3" x14ac:dyDescent="0.3">
      <c r="A16">
        <v>15</v>
      </c>
      <c r="B16">
        <v>238</v>
      </c>
      <c r="C16">
        <v>0.27</v>
      </c>
    </row>
    <row r="17" spans="1:3" x14ac:dyDescent="0.3">
      <c r="A17">
        <v>16</v>
      </c>
      <c r="B17">
        <v>235.20000000000002</v>
      </c>
      <c r="C17">
        <v>0.18</v>
      </c>
    </row>
    <row r="18" spans="1:3" x14ac:dyDescent="0.3">
      <c r="A18">
        <v>17</v>
      </c>
      <c r="B18">
        <v>103.60000000000001</v>
      </c>
      <c r="C18">
        <v>0.05</v>
      </c>
    </row>
    <row r="19" spans="1:3" x14ac:dyDescent="0.3">
      <c r="A19">
        <v>18</v>
      </c>
      <c r="B19">
        <v>238</v>
      </c>
      <c r="C19">
        <v>0.28000000000000003</v>
      </c>
    </row>
    <row r="20" spans="1:3" x14ac:dyDescent="0.3">
      <c r="A20">
        <v>19</v>
      </c>
      <c r="B20">
        <v>154</v>
      </c>
      <c r="C20">
        <v>0.1</v>
      </c>
    </row>
    <row r="21" spans="1:3" x14ac:dyDescent="0.3">
      <c r="A21">
        <v>20</v>
      </c>
      <c r="B21">
        <v>120.39999999999999</v>
      </c>
      <c r="C21">
        <v>0.08</v>
      </c>
    </row>
    <row r="22" spans="1:3" x14ac:dyDescent="0.3">
      <c r="A22">
        <v>21</v>
      </c>
      <c r="B22">
        <v>310.8</v>
      </c>
      <c r="C22">
        <v>0.3</v>
      </c>
    </row>
    <row r="23" spans="1:3" x14ac:dyDescent="0.3">
      <c r="A23">
        <v>22</v>
      </c>
      <c r="B23">
        <v>148.4</v>
      </c>
      <c r="C23">
        <v>0.08</v>
      </c>
    </row>
    <row r="24" spans="1:3" x14ac:dyDescent="0.3">
      <c r="A24">
        <v>23</v>
      </c>
      <c r="B24">
        <v>154</v>
      </c>
      <c r="C24">
        <v>0.15</v>
      </c>
    </row>
    <row r="25" spans="1:3" x14ac:dyDescent="0.3">
      <c r="A25">
        <v>24</v>
      </c>
      <c r="B25">
        <v>282.8</v>
      </c>
      <c r="C25">
        <v>0.24</v>
      </c>
    </row>
    <row r="26" spans="1:3" x14ac:dyDescent="0.3">
      <c r="A26">
        <v>25</v>
      </c>
      <c r="B26">
        <v>159.6</v>
      </c>
      <c r="C26">
        <v>0.15</v>
      </c>
    </row>
    <row r="27" spans="1:3" x14ac:dyDescent="0.3">
      <c r="A27">
        <v>26</v>
      </c>
      <c r="B27">
        <v>137.20000000000002</v>
      </c>
      <c r="C27">
        <v>0.17</v>
      </c>
    </row>
    <row r="28" spans="1:3" x14ac:dyDescent="0.3">
      <c r="A28">
        <v>27</v>
      </c>
      <c r="B28">
        <v>288.40000000000003</v>
      </c>
      <c r="C28">
        <v>0.27</v>
      </c>
    </row>
    <row r="29" spans="1:3" x14ac:dyDescent="0.3">
      <c r="A29">
        <v>28</v>
      </c>
      <c r="B29">
        <v>221.20000000000002</v>
      </c>
      <c r="C29">
        <v>0.24</v>
      </c>
    </row>
    <row r="30" spans="1:3" x14ac:dyDescent="0.3">
      <c r="A30">
        <v>29</v>
      </c>
      <c r="B30">
        <v>75.600000000000009</v>
      </c>
      <c r="C30">
        <v>0.06</v>
      </c>
    </row>
    <row r="31" spans="1:3" x14ac:dyDescent="0.3">
      <c r="A31">
        <v>30</v>
      </c>
      <c r="B31">
        <v>64.399999999999991</v>
      </c>
      <c r="C31">
        <v>0.05</v>
      </c>
    </row>
    <row r="32" spans="1:3" x14ac:dyDescent="0.3">
      <c r="A32">
        <v>31</v>
      </c>
      <c r="B32">
        <v>182</v>
      </c>
      <c r="C32">
        <v>0.18</v>
      </c>
    </row>
    <row r="33" spans="1:3" x14ac:dyDescent="0.3">
      <c r="A33">
        <v>32</v>
      </c>
      <c r="B33">
        <v>159.6</v>
      </c>
      <c r="C33">
        <v>0.12</v>
      </c>
    </row>
    <row r="34" spans="1:3" x14ac:dyDescent="0.3">
      <c r="A34">
        <v>33</v>
      </c>
      <c r="B34">
        <v>131.6</v>
      </c>
      <c r="C34">
        <v>0.2</v>
      </c>
    </row>
    <row r="35" spans="1:3" x14ac:dyDescent="0.3">
      <c r="A35">
        <v>34</v>
      </c>
      <c r="B35">
        <v>238</v>
      </c>
      <c r="C35">
        <v>0.22</v>
      </c>
    </row>
    <row r="36" spans="1:3" x14ac:dyDescent="0.3">
      <c r="A36">
        <v>35</v>
      </c>
      <c r="B36">
        <v>154</v>
      </c>
      <c r="C36">
        <v>0.11</v>
      </c>
    </row>
    <row r="37" spans="1:3" x14ac:dyDescent="0.3">
      <c r="A37">
        <v>36</v>
      </c>
      <c r="B37">
        <v>128.79999999999998</v>
      </c>
      <c r="C37">
        <v>0.11</v>
      </c>
    </row>
    <row r="38" spans="1:3" x14ac:dyDescent="0.3">
      <c r="A38">
        <v>37</v>
      </c>
      <c r="B38">
        <v>246.40000000000003</v>
      </c>
      <c r="C38">
        <v>0.3</v>
      </c>
    </row>
    <row r="39" spans="1:3" x14ac:dyDescent="0.3">
      <c r="A39">
        <v>38</v>
      </c>
      <c r="B39">
        <v>238</v>
      </c>
      <c r="C39">
        <v>0.27</v>
      </c>
    </row>
    <row r="40" spans="1:3" x14ac:dyDescent="0.3">
      <c r="A40">
        <v>39</v>
      </c>
      <c r="B40">
        <v>162.4</v>
      </c>
      <c r="C40">
        <v>0.16</v>
      </c>
    </row>
    <row r="41" spans="1:3" x14ac:dyDescent="0.3">
      <c r="A41">
        <v>40</v>
      </c>
      <c r="B41">
        <v>212.79999999999998</v>
      </c>
      <c r="C41">
        <v>0.22</v>
      </c>
    </row>
    <row r="42" spans="1:3" x14ac:dyDescent="0.3">
      <c r="A42">
        <v>41</v>
      </c>
      <c r="B42">
        <v>103.60000000000001</v>
      </c>
      <c r="C42">
        <v>0.04</v>
      </c>
    </row>
    <row r="43" spans="1:3" x14ac:dyDescent="0.3">
      <c r="A43">
        <v>42</v>
      </c>
      <c r="B43">
        <v>182</v>
      </c>
      <c r="C43">
        <v>0.17</v>
      </c>
    </row>
    <row r="44" spans="1:3" x14ac:dyDescent="0.3">
      <c r="A44">
        <v>43</v>
      </c>
      <c r="B44">
        <v>187.6</v>
      </c>
      <c r="C44">
        <v>0.18</v>
      </c>
    </row>
    <row r="45" spans="1:3" x14ac:dyDescent="0.3">
      <c r="A45">
        <v>44</v>
      </c>
      <c r="B45">
        <v>316.40000000000003</v>
      </c>
      <c r="C45">
        <v>0.31</v>
      </c>
    </row>
    <row r="46" spans="1:3" x14ac:dyDescent="0.3">
      <c r="A46">
        <v>45</v>
      </c>
      <c r="B46">
        <v>288.40000000000003</v>
      </c>
      <c r="C46">
        <v>0.28999999999999998</v>
      </c>
    </row>
    <row r="47" spans="1:3" x14ac:dyDescent="0.3">
      <c r="A47">
        <v>46</v>
      </c>
      <c r="B47">
        <v>176.4</v>
      </c>
      <c r="C47">
        <v>0.16</v>
      </c>
    </row>
    <row r="48" spans="1:3" x14ac:dyDescent="0.3">
      <c r="A48">
        <v>47</v>
      </c>
      <c r="B48">
        <v>240.79999999999998</v>
      </c>
      <c r="C48">
        <v>0.31</v>
      </c>
    </row>
    <row r="49" spans="1:3" x14ac:dyDescent="0.3">
      <c r="A49">
        <v>48</v>
      </c>
      <c r="B49">
        <v>364</v>
      </c>
      <c r="C49">
        <v>0.34</v>
      </c>
    </row>
    <row r="50" spans="1:3" x14ac:dyDescent="0.3">
      <c r="A50">
        <v>49</v>
      </c>
      <c r="B50">
        <v>285.59999999999997</v>
      </c>
      <c r="C50">
        <v>0.26</v>
      </c>
    </row>
    <row r="51" spans="1:3" x14ac:dyDescent="0.3">
      <c r="A51">
        <v>50</v>
      </c>
      <c r="B51">
        <v>336</v>
      </c>
      <c r="C51">
        <v>0.35</v>
      </c>
    </row>
    <row r="52" spans="1:3" x14ac:dyDescent="0.3">
      <c r="A52">
        <v>51</v>
      </c>
      <c r="B52">
        <v>159.6</v>
      </c>
      <c r="C52">
        <v>0.17</v>
      </c>
    </row>
    <row r="53" spans="1:3" x14ac:dyDescent="0.3">
      <c r="A53">
        <v>52</v>
      </c>
      <c r="B53">
        <v>288.40000000000003</v>
      </c>
      <c r="C53">
        <v>0.3</v>
      </c>
    </row>
    <row r="54" spans="1:3" x14ac:dyDescent="0.3">
      <c r="A54">
        <v>53</v>
      </c>
      <c r="B54">
        <v>154</v>
      </c>
      <c r="C54">
        <v>0.1</v>
      </c>
    </row>
    <row r="55" spans="1:3" x14ac:dyDescent="0.3">
      <c r="A55">
        <v>54</v>
      </c>
      <c r="B55">
        <v>95.2</v>
      </c>
      <c r="C55">
        <v>0.03</v>
      </c>
    </row>
    <row r="56" spans="1:3" x14ac:dyDescent="0.3">
      <c r="A56">
        <v>55</v>
      </c>
      <c r="B56">
        <v>221.20000000000002</v>
      </c>
      <c r="C56">
        <v>0.24</v>
      </c>
    </row>
    <row r="57" spans="1:3" x14ac:dyDescent="0.3">
      <c r="A57">
        <v>56</v>
      </c>
      <c r="B57">
        <v>137.20000000000002</v>
      </c>
      <c r="C57">
        <v>0.18</v>
      </c>
    </row>
    <row r="58" spans="1:3" x14ac:dyDescent="0.3">
      <c r="A58">
        <v>57</v>
      </c>
      <c r="B58">
        <v>288.40000000000003</v>
      </c>
      <c r="C58">
        <v>0.28000000000000003</v>
      </c>
    </row>
    <row r="59" spans="1:3" x14ac:dyDescent="0.3">
      <c r="A59">
        <v>58</v>
      </c>
      <c r="B59">
        <v>128.79999999999998</v>
      </c>
      <c r="C59">
        <v>0.09</v>
      </c>
    </row>
    <row r="60" spans="1:3" x14ac:dyDescent="0.3">
      <c r="A60">
        <v>59</v>
      </c>
      <c r="B60">
        <v>235.20000000000002</v>
      </c>
      <c r="C60">
        <v>0.27</v>
      </c>
    </row>
    <row r="61" spans="1:3" x14ac:dyDescent="0.3">
      <c r="A61">
        <v>60</v>
      </c>
      <c r="B61">
        <v>238</v>
      </c>
      <c r="C61">
        <v>0.28999999999999998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csv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Schedrovskiy</dc:creator>
  <cp:lastModifiedBy>Ivan Schedrovskiy</cp:lastModifiedBy>
  <dcterms:created xsi:type="dcterms:W3CDTF">2015-06-05T18:17:20Z</dcterms:created>
  <dcterms:modified xsi:type="dcterms:W3CDTF">2026-01-05T21:12:03Z</dcterms:modified>
</cp:coreProperties>
</file>